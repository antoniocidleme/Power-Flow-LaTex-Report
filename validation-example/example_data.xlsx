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Code\Panda Power\GitHub\"/>
    </mc:Choice>
  </mc:AlternateContent>
  <xr:revisionPtr revIDLastSave="0" documentId="8_{D9FE4F20-2C35-41EB-AACF-42B3E09C180B}" xr6:coauthVersionLast="47" xr6:coauthVersionMax="47" xr10:uidLastSave="{00000000-0000-0000-0000-000000000000}"/>
  <bookViews>
    <workbookView xWindow="-120" yWindow="-120" windowWidth="20730" windowHeight="11760" xr2:uid="{CA3A7C68-CCA6-4DE9-9C51-0CF5E71A75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 l="1"/>
  <c r="U7" i="1"/>
  <c r="U6" i="1"/>
  <c r="U5" i="1"/>
</calcChain>
</file>

<file path=xl/sharedStrings.xml><?xml version="1.0" encoding="utf-8"?>
<sst xmlns="http://schemas.openxmlformats.org/spreadsheetml/2006/main" count="39" uniqueCount="39">
  <si>
    <t>V base SW (kV)</t>
  </si>
  <si>
    <t>Freq (Hz)</t>
  </si>
  <si>
    <t>No.</t>
  </si>
  <si>
    <t>Pl (MW)</t>
  </si>
  <si>
    <t>Ql (MVAr)</t>
  </si>
  <si>
    <t>Vm (pu)</t>
  </si>
  <si>
    <t>Vn (kV)</t>
  </si>
  <si>
    <t>Pg (MW)</t>
  </si>
  <si>
    <t>Qmin (MVAr)</t>
  </si>
  <si>
    <t>Qmax (MVAr)</t>
  </si>
  <si>
    <t>hv_bus</t>
  </si>
  <si>
    <t>lv_bus</t>
  </si>
  <si>
    <t>Sn (MVA)</t>
  </si>
  <si>
    <t>Vn_hv (kV)</t>
  </si>
  <si>
    <t>Vn_lv (kV)</t>
  </si>
  <si>
    <t>X (%)</t>
  </si>
  <si>
    <t>R (%)</t>
  </si>
  <si>
    <t>Pfe (kW)</t>
  </si>
  <si>
    <t>I0 (%)</t>
  </si>
  <si>
    <t>Shift (°)</t>
  </si>
  <si>
    <t>From_bus</t>
  </si>
  <si>
    <t>To_bus</t>
  </si>
  <si>
    <t>Imax (kA)</t>
  </si>
  <si>
    <t>Bus</t>
  </si>
  <si>
    <t>Load</t>
  </si>
  <si>
    <t>Generator</t>
  </si>
  <si>
    <t>Transformer</t>
  </si>
  <si>
    <t>Transmission Line</t>
  </si>
  <si>
    <t>S base (MVA)</t>
  </si>
  <si>
    <t>R (pu)</t>
  </si>
  <si>
    <t>X (pu)</t>
  </si>
  <si>
    <t>G (pu)</t>
  </si>
  <si>
    <t>B (pu)</t>
  </si>
  <si>
    <t>Shunt</t>
  </si>
  <si>
    <t>Slack Bus (No)</t>
  </si>
  <si>
    <t>Bsh (pu)</t>
  </si>
  <si>
    <t>Pmax (MW)</t>
  </si>
  <si>
    <t>Tolerance (MVA)</t>
  </si>
  <si>
    <t>Max. 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</si>
</sst>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1" fontId="0" fillId="0" borderId="0" xfId="0" applyNumberFormat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87253-425F-4ACC-9F31-8893A0243590}" name="Tabela1" displayName="Tabela1" ref="E4:O10" totalsRowShown="0">
  <autoFilter ref="E4:O10" xr:uid="{20C87253-425F-4ACC-9F31-8893A0243590}"/>
  <tableColumns count="11">
    <tableColumn id="1" xr3:uid="{9D46B6D4-4EA9-40C9-8A71-D001D3CF3603}" name="No."/>
    <tableColumn id="4" xr3:uid="{A523558E-56B9-43FF-B6F6-789264E0A96A}" name="Vn (kV)"/>
    <tableColumn id="5" xr3:uid="{696CF669-A2CA-4E92-974B-EA7FEF169DDB}" name="Pl (MW)"/>
    <tableColumn id="6" xr3:uid="{14EA0AD0-E7E0-48BE-BDDD-C2C660C20824}" name="Ql (MVAr)"/>
    <tableColumn id="7" xr3:uid="{AC084FAA-0FB4-43DC-B98B-E05DCDB9482A}" name="Pg (MW)"/>
    <tableColumn id="8" xr3:uid="{58AED683-13B4-4439-8FD3-3F388FBC9700}" name="Vm (pu)"/>
    <tableColumn id="11" xr3:uid="{4E61556E-4A22-4834-BCDE-652CBCDAE782}" name="Pmax (MW)"/>
    <tableColumn id="9" xr3:uid="{C48A52AF-932C-4EAE-A6B7-92A8D5D5B01E}" name="Qmin (MVAr)"/>
    <tableColumn id="10" xr3:uid="{03AC1BDC-33C5-45BC-A34C-0D8BADD8E69A}" name="Qmax (MVAr)"/>
    <tableColumn id="2" xr3:uid="{616E17C0-1764-4D76-BD3D-10548B51D140}" name="G (pu)"/>
    <tableColumn id="3" xr3:uid="{CAA8EB42-7A59-4425-B896-A15CD7EEBD81}" name="B (pu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79A7BD-F3F7-448F-A2E3-7182EBF95474}" name="Tabela3" displayName="Tabela3" ref="Q4:V10" totalsRowShown="0">
  <autoFilter ref="Q4:V10" xr:uid="{5A79A7BD-F3F7-448F-A2E3-7182EBF95474}"/>
  <tableColumns count="6">
    <tableColumn id="1" xr3:uid="{D2FB4FB2-148B-4933-A716-17825A411634}" name="From_bus"/>
    <tableColumn id="2" xr3:uid="{46DE0A09-70EF-4654-96B6-11DCD423B079}" name="To_bus"/>
    <tableColumn id="5" xr3:uid="{4C1194D5-2559-4F6D-9CB3-3DF09E527805}" name="R (pu)"/>
    <tableColumn id="6" xr3:uid="{DFBC0671-EF56-49DD-9FC1-C273C9ED6DCA}" name="X (pu)"/>
    <tableColumn id="7" xr3:uid="{E476F8CC-5DBA-42B7-BD9A-B50A5DF99D56}" name="Bsh (pu)" dataDxfId="0">
      <calculatedColumnFormula>2*0.05125</calculatedColumnFormula>
    </tableColumn>
    <tableColumn id="8" xr3:uid="{316CFB05-9DEE-40CA-8249-A75389FA3ECD}" name="Imax (kA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AA54B5-36C7-46F7-B9E4-39DAB4A3FDAC}" name="Tabela26" displayName="Tabela26" ref="X4:AG7" totalsRowShown="0">
  <autoFilter ref="X4:AG7" xr:uid="{03AA54B5-36C7-46F7-B9E4-39DAB4A3FDAC}"/>
  <tableColumns count="10">
    <tableColumn id="1" xr3:uid="{632F29FD-D830-4C73-882A-573455392F07}" name="hv_bus"/>
    <tableColumn id="2" xr3:uid="{A6CF5AC0-29DE-48FA-80CD-DC82B7C39C96}" name="lv_bus"/>
    <tableColumn id="3" xr3:uid="{7E4F4158-195C-4AD6-A56F-9F27AE8710E3}" name="Sn (MVA)"/>
    <tableColumn id="4" xr3:uid="{1237667F-619E-4881-B70A-CDA602F65231}" name="Vn_hv (kV)"/>
    <tableColumn id="5" xr3:uid="{6DCBE150-EED1-4255-AFC9-56EF43A45A10}" name="Vn_lv (kV)"/>
    <tableColumn id="6" xr3:uid="{14310D4F-1D7D-47A3-8DE0-DA4497150269}" name="R (%)"/>
    <tableColumn id="7" xr3:uid="{7ADDA98F-CBED-4258-B961-C7810FC858C8}" name="X (%)"/>
    <tableColumn id="8" xr3:uid="{E8D188ED-DAB7-4664-8D01-FBDA92945423}" name="Pfe (kW)"/>
    <tableColumn id="9" xr3:uid="{32F292E5-0EE2-4680-9453-366398E1E630}" name="I0 (%)"/>
    <tableColumn id="10" xr3:uid="{31A7C42E-D7D6-4B82-9D13-7DE2A4377541}" name="Shift (°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5135-0C55-4FF1-BEF1-AD4913E3A384}">
  <dimension ref="B3:AG13"/>
  <sheetViews>
    <sheetView tabSelected="1" zoomScale="85" zoomScaleNormal="85" workbookViewId="0">
      <selection activeCell="B15" sqref="B15"/>
    </sheetView>
  </sheetViews>
  <sheetFormatPr defaultRowHeight="15" x14ac:dyDescent="0.25"/>
  <cols>
    <col min="2" max="2" width="15.5703125" bestFit="1" customWidth="1"/>
    <col min="3" max="3" width="8.42578125" bestFit="1" customWidth="1"/>
    <col min="5" max="5" width="6.7109375" bestFit="1" customWidth="1"/>
    <col min="6" max="6" width="9.85546875" bestFit="1" customWidth="1"/>
    <col min="7" max="7" width="10.42578125" bestFit="1" customWidth="1"/>
    <col min="8" max="8" width="11.85546875" bestFit="1" customWidth="1"/>
    <col min="9" max="9" width="10.85546875" bestFit="1" customWidth="1"/>
    <col min="10" max="10" width="10.42578125" bestFit="1" customWidth="1"/>
    <col min="11" max="11" width="13.42578125" bestFit="1" customWidth="1"/>
    <col min="12" max="12" width="14.5703125" bestFit="1" customWidth="1"/>
    <col min="13" max="13" width="15" bestFit="1" customWidth="1"/>
    <col min="14" max="14" width="8.85546875" bestFit="1" customWidth="1"/>
    <col min="15" max="15" width="8.7109375" bestFit="1" customWidth="1"/>
    <col min="16" max="16" width="12" bestFit="1" customWidth="1"/>
    <col min="17" max="17" width="12.140625" bestFit="1" customWidth="1"/>
    <col min="18" max="18" width="9.5703125" bestFit="1" customWidth="1"/>
    <col min="19" max="19" width="8.7109375" bestFit="1" customWidth="1"/>
    <col min="20" max="20" width="8.5703125" bestFit="1" customWidth="1"/>
    <col min="21" max="21" width="10.7109375" bestFit="1" customWidth="1"/>
    <col min="22" max="22" width="11.7109375" bestFit="1" customWidth="1"/>
    <col min="23" max="24" width="9.5703125" bestFit="1" customWidth="1"/>
    <col min="25" max="25" width="9" bestFit="1" customWidth="1"/>
    <col min="26" max="26" width="11.42578125" bestFit="1" customWidth="1"/>
    <col min="27" max="27" width="12.5703125" bestFit="1" customWidth="1"/>
    <col min="28" max="28" width="12.140625" bestFit="1" customWidth="1"/>
    <col min="29" max="29" width="8.140625" bestFit="1" customWidth="1"/>
    <col min="30" max="30" width="8" bestFit="1" customWidth="1"/>
    <col min="31" max="31" width="11" bestFit="1" customWidth="1"/>
    <col min="32" max="32" width="8.5703125" bestFit="1" customWidth="1"/>
    <col min="33" max="33" width="10.28515625" bestFit="1" customWidth="1"/>
    <col min="34" max="34" width="15.42578125" bestFit="1" customWidth="1"/>
    <col min="35" max="35" width="18.7109375" bestFit="1" customWidth="1"/>
    <col min="36" max="36" width="14.5703125" bestFit="1" customWidth="1"/>
    <col min="37" max="37" width="15.28515625" bestFit="1" customWidth="1"/>
    <col min="38" max="38" width="20.140625" bestFit="1" customWidth="1"/>
  </cols>
  <sheetData>
    <row r="3" spans="2:33" x14ac:dyDescent="0.25">
      <c r="E3" s="4" t="s">
        <v>23</v>
      </c>
      <c r="F3" s="4"/>
      <c r="G3" s="5" t="s">
        <v>24</v>
      </c>
      <c r="H3" s="5"/>
      <c r="I3" s="4" t="s">
        <v>25</v>
      </c>
      <c r="J3" s="4"/>
      <c r="K3" s="4"/>
      <c r="L3" s="4"/>
      <c r="M3" s="4"/>
      <c r="N3" s="5" t="s">
        <v>33</v>
      </c>
      <c r="O3" s="5"/>
      <c r="Q3" s="4" t="s">
        <v>27</v>
      </c>
      <c r="R3" s="4"/>
      <c r="S3" s="4"/>
      <c r="T3" s="4"/>
      <c r="U3" s="4"/>
      <c r="V3" s="4"/>
      <c r="W3" s="1"/>
      <c r="X3" s="4" t="s">
        <v>26</v>
      </c>
      <c r="Y3" s="4"/>
      <c r="Z3" s="4"/>
      <c r="AA3" s="4"/>
      <c r="AB3" s="4"/>
      <c r="AC3" s="4"/>
      <c r="AD3" s="4"/>
      <c r="AE3" s="4"/>
      <c r="AF3" s="4"/>
      <c r="AG3" s="4"/>
    </row>
    <row r="4" spans="2:33" x14ac:dyDescent="0.25">
      <c r="B4" s="6" t="s">
        <v>34</v>
      </c>
      <c r="C4">
        <v>1</v>
      </c>
      <c r="E4" t="s">
        <v>2</v>
      </c>
      <c r="F4" t="s">
        <v>6</v>
      </c>
      <c r="G4" t="s">
        <v>3</v>
      </c>
      <c r="H4" t="s">
        <v>4</v>
      </c>
      <c r="I4" t="s">
        <v>7</v>
      </c>
      <c r="J4" t="s">
        <v>5</v>
      </c>
      <c r="K4" t="s">
        <v>36</v>
      </c>
      <c r="L4" t="s">
        <v>8</v>
      </c>
      <c r="M4" t="s">
        <v>9</v>
      </c>
      <c r="N4" t="s">
        <v>31</v>
      </c>
      <c r="O4" t="s">
        <v>32</v>
      </c>
      <c r="Q4" t="s">
        <v>20</v>
      </c>
      <c r="R4" t="s">
        <v>21</v>
      </c>
      <c r="S4" t="s">
        <v>29</v>
      </c>
      <c r="T4" t="s">
        <v>30</v>
      </c>
      <c r="U4" t="s">
        <v>35</v>
      </c>
      <c r="V4" t="s">
        <v>22</v>
      </c>
      <c r="X4" t="s">
        <v>10</v>
      </c>
      <c r="Y4" t="s">
        <v>11</v>
      </c>
      <c r="Z4" t="s">
        <v>12</v>
      </c>
      <c r="AA4" t="s">
        <v>13</v>
      </c>
      <c r="AB4" t="s">
        <v>14</v>
      </c>
      <c r="AC4" t="s">
        <v>16</v>
      </c>
      <c r="AD4" t="s">
        <v>15</v>
      </c>
      <c r="AE4" t="s">
        <v>17</v>
      </c>
      <c r="AF4" t="s">
        <v>18</v>
      </c>
      <c r="AG4" t="s">
        <v>19</v>
      </c>
    </row>
    <row r="5" spans="2:33" x14ac:dyDescent="0.25">
      <c r="B5" s="7" t="s">
        <v>1</v>
      </c>
      <c r="C5">
        <v>50</v>
      </c>
      <c r="E5">
        <v>1</v>
      </c>
      <c r="F5">
        <v>230</v>
      </c>
      <c r="G5">
        <v>50</v>
      </c>
      <c r="H5">
        <v>30.99</v>
      </c>
      <c r="I5">
        <v>0</v>
      </c>
      <c r="J5">
        <v>1</v>
      </c>
      <c r="K5">
        <v>900</v>
      </c>
      <c r="L5">
        <v>-900</v>
      </c>
      <c r="M5">
        <v>900</v>
      </c>
      <c r="Q5">
        <v>1</v>
      </c>
      <c r="R5">
        <v>2</v>
      </c>
      <c r="S5">
        <v>1.008E-2</v>
      </c>
      <c r="T5">
        <v>5.04E-2</v>
      </c>
      <c r="U5">
        <f t="shared" ref="U5:U10" si="0">2*0.05125</f>
        <v>0.10249999999999999</v>
      </c>
      <c r="V5">
        <v>5</v>
      </c>
    </row>
    <row r="6" spans="2:33" x14ac:dyDescent="0.25">
      <c r="B6" s="6" t="s">
        <v>0</v>
      </c>
      <c r="C6">
        <v>230</v>
      </c>
      <c r="E6">
        <v>2</v>
      </c>
      <c r="F6">
        <v>230</v>
      </c>
      <c r="G6">
        <v>170</v>
      </c>
      <c r="H6">
        <v>105.35</v>
      </c>
      <c r="Q6">
        <v>1</v>
      </c>
      <c r="R6">
        <v>3</v>
      </c>
      <c r="S6">
        <v>7.4400000000000004E-3</v>
      </c>
      <c r="T6">
        <v>3.7199999999999997E-2</v>
      </c>
      <c r="U6">
        <f>2*0.03875</f>
        <v>7.7499999999999999E-2</v>
      </c>
      <c r="V6">
        <v>5</v>
      </c>
    </row>
    <row r="7" spans="2:33" x14ac:dyDescent="0.25">
      <c r="B7" s="7" t="s">
        <v>28</v>
      </c>
      <c r="C7">
        <v>100</v>
      </c>
      <c r="E7">
        <v>3</v>
      </c>
      <c r="F7">
        <v>230</v>
      </c>
      <c r="G7">
        <v>200</v>
      </c>
      <c r="H7">
        <v>123.94</v>
      </c>
      <c r="Q7">
        <v>2</v>
      </c>
      <c r="R7">
        <v>4</v>
      </c>
      <c r="S7">
        <v>7.4400000000000004E-3</v>
      </c>
      <c r="T7">
        <v>3.7199999999999997E-2</v>
      </c>
      <c r="U7">
        <f>2*0.03875</f>
        <v>7.7499999999999999E-2</v>
      </c>
      <c r="V7">
        <v>5</v>
      </c>
    </row>
    <row r="8" spans="2:33" x14ac:dyDescent="0.25">
      <c r="B8" s="6" t="s">
        <v>37</v>
      </c>
      <c r="C8" s="3">
        <v>9.9999999999999995E-7</v>
      </c>
      <c r="E8">
        <v>4</v>
      </c>
      <c r="F8">
        <v>230</v>
      </c>
      <c r="G8">
        <v>80</v>
      </c>
      <c r="H8">
        <v>49.58</v>
      </c>
      <c r="I8">
        <v>318</v>
      </c>
      <c r="J8">
        <v>1.02</v>
      </c>
      <c r="K8">
        <v>900</v>
      </c>
      <c r="L8">
        <v>-900</v>
      </c>
      <c r="M8">
        <v>900</v>
      </c>
      <c r="Q8">
        <v>3</v>
      </c>
      <c r="R8">
        <v>4</v>
      </c>
      <c r="S8">
        <v>1.272E-2</v>
      </c>
      <c r="T8">
        <v>6.3600000000000004E-2</v>
      </c>
      <c r="U8">
        <f>2*0.06375</f>
        <v>0.1275</v>
      </c>
      <c r="V8">
        <v>5</v>
      </c>
    </row>
    <row r="9" spans="2:33" x14ac:dyDescent="0.25">
      <c r="B9" s="7" t="s">
        <v>38</v>
      </c>
      <c r="C9">
        <v>30</v>
      </c>
    </row>
    <row r="13" spans="2:33" x14ac:dyDescent="0.25">
      <c r="AE13" s="2"/>
    </row>
  </sheetData>
  <mergeCells count="6">
    <mergeCell ref="X3:AG3"/>
    <mergeCell ref="E3:F3"/>
    <mergeCell ref="G3:H3"/>
    <mergeCell ref="N3:O3"/>
    <mergeCell ref="I3:M3"/>
    <mergeCell ref="Q3:V3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Antônio Cid Leme Ferreira</dc:creator>
  <cp:lastModifiedBy>Antônio Cid Leme Ferreira</cp:lastModifiedBy>
  <dcterms:created xsi:type="dcterms:W3CDTF">2026-01-31T20:13:59Z</dcterms:created>
  <dcterms:modified xsi:type="dcterms:W3CDTF">2026-02-11T21:48:36Z</dcterms:modified>
</cp:coreProperties>
</file>